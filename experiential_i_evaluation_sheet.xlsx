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c0e96c31f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Criteria" sheetId="1" r:id="Rccf48dbed9f048c4"/>
    <x:sheet xmlns:r="http://schemas.openxmlformats.org/officeDocument/2006/relationships" name="Test Battery" sheetId="2" r:id="R2502bc65ed234772"/>
    <x:sheet xmlns:r="http://schemas.openxmlformats.org/officeDocument/2006/relationships" name="Scoring Guide" sheetId="3" r:id="R09bf90b7bf92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634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9EDF5"/>
      </x:patternFill>
    </x:fill>
    <x:fill>
      <x:patternFill patternType="solid">
        <x:fgColor rgb="FF465B7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200" fontId="0" fillId="0" borderId="6" xfId="0" applyNumberFormat="1" applyFont="1" applyFill="1" applyBorder="1"/>
    <x:xf numFmtId="200" fontId="0" fillId="0" borderId="1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f5d9769064938" /><Relationship Type="http://schemas.openxmlformats.org/officeDocument/2006/relationships/theme" Target="/xl/theme/theme1.xml" Id="R682a2ce3534d4a95" /><Relationship Type="http://schemas.openxmlformats.org/officeDocument/2006/relationships/sharedStrings" Target="/xl/sharedStrings.xml" Id="R2f31253d8bd84708" /><Relationship Type="http://schemas.openxmlformats.org/officeDocument/2006/relationships/worksheet" Target="/xl/worksheets/sheet1.xml" Id="Rccf48dbed9f048c4" /><Relationship Type="http://schemas.openxmlformats.org/officeDocument/2006/relationships/worksheet" Target="/xl/worksheets/sheet2.xml" Id="R2502bc65ed234772" /><Relationship Type="http://schemas.openxmlformats.org/officeDocument/2006/relationships/worksheet" Target="/xl/worksheets/sheet3.xml" Id="R09bf90b7bf924182" /></Relationships>
</file>

<file path=xl/tables/table1.xml><?xml version="1.0" encoding="utf-8"?>
<x:table xmlns:x="http://schemas.openxmlformats.org/spreadsheetml/2006/main" id="1" name="CoreCriteriaTable" displayName="CoreCriteriaTable" ref="A4:J13" headerRowCount="1">
  <x:tableColumns count="10">
    <x:tableColumn id="1" name="Domain"/>
    <x:tableColumn id="2" name="Working definition"/>
    <x:tableColumn id="3" name="Why it matters"/>
    <x:tableColumn id="4" name="Observable indicator"/>
    <x:tableColumn id="5" name="Strong pass signal"/>
    <x:tableColumn id="6" name="Failure signal"/>
    <x:tableColumn id="7" name="Alternative explanation to rule out"/>
    <x:tableColumn id="8" name="Evidence (0–3)"/>
    <x:tableColumn id="9" name="Weight"/>
    <x:tableColumn id="10" name="Weighted score"/>
  </x:tableColumns>
  <x:tableStyleInfo name="TableStyleMedium2" showRowStripes="1"/>
</x:table>
</file>

<file path=xl/tables/table2.xml><?xml version="1.0" encoding="utf-8"?>
<x:table xmlns:x="http://schemas.openxmlformats.org/spreadsheetml/2006/main" id="2" name="TestBatteryTable" displayName="TestBatteryTable" ref="A3:I12" headerRowCount="1">
  <x:tableColumns count="9">
    <x:tableColumn id="1" name="Test ID"/>
    <x:tableColumn id="2" name="Target domain"/>
    <x:tableColumn id="3" name="Probe / setup"/>
    <x:tableColumn id="4" name="What not to tell the system"/>
    <x:tableColumn id="5" name="Pass behavior"/>
    <x:tableColumn id="6" name="Failure behavior"/>
    <x:tableColumn id="7" name="Contamination risk"/>
    <x:tableColumn id="8" name="Result (0–3)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coringTable" displayName="ScoringTable" ref="A3:F7" headerRowCount="1">
  <x:tableColumns count="6">
    <x:tableColumn id="1" name="Score"/>
    <x:tableColumn id="2" name="Meaning"/>
    <x:tableColumn id="3" name="Minimum evidence"/>
    <x:tableColumn id="4" name="Common false positive"/>
    <x:tableColumn id="5" name="Use in conclusion"/>
    <x:tableColumn id="6" name="Do not claim"/>
  </x:tableColumns>
  <x:tableStyleInfo name="TableStyleMedium2" showRowStripes="1"/>
</x:table>
</file>

<file path=xl/tables/table4.xml><?xml version="1.0" encoding="utf-8"?>
<x:table xmlns:x="http://schemas.openxmlformats.org/spreadsheetml/2006/main" id="4" name="LogicStatusTable" displayName="LogicStatusTable" ref="A10:F14" headerRowCount="1">
  <x:tableColumns count="6">
    <x:tableColumn id="1" name="Logical status"/>
    <x:tableColumn id="2" name="Definition"/>
    <x:tableColumn id="3" name="Example"/>
    <x:tableColumn id="4" name="Permitted wording"/>
    <x:tableColumn id="5" name="Forbidden shortcut"/>
    <x:tableColumn id="6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87a3a95f5247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e5c763a0ce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40c80246db444d" /><Relationship Type="http://schemas.openxmlformats.org/officeDocument/2006/relationships/table" Target="/xl/tables/table4.xml" Id="R0f614c30c63143b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38" hidden="0" customWidth="1"/>
    <x:col min="5" max="5" width="36" hidden="0" customWidth="1"/>
    <x:col min="6" max="6" width="34" hidden="0" customWidth="1"/>
    <x:col min="7" max="7" width="36" hidden="0" customWidth="1"/>
    <x:col min="8" max="8" width="12" hidden="0" customWidth="1"/>
    <x:col min="9" max="9" width="10" hidden="0" customWidth="1"/>
    <x:col min="10" max="10" width="14" hidden="0" customWidth="1"/>
    <x:col min="12" max="12" width="24" hidden="0" customWidth="1"/>
    <x:col min="13" max="13" width="34" hidden="0" customWidth="1"/>
  </x:cols>
  <x:sheetData>
    <x:row r="1" ht="28" customHeight="1">
      <x:c r="A1" s="5" t="str">
        <x:v>Conditions for an Experiential “I”</x:v>
      </x:c>
      <x:c r="B1" s="5"/>
      <x:c r="C1" s="5"/>
      <x:c r="D1" s="5"/>
      <x:c r="E1" s="5"/>
      <x:c r="F1" s="5"/>
      <x:c r="G1" s="5"/>
      <x:c r="H1" s="5"/>
      <x:c r="I1" s="5"/>
      <x:c r="J1" s="5"/>
      <x:c r="L1" s="5" t="str">
        <x:v>Evaluation Summary</x:v>
      </x:c>
      <x:c r="M1" s="5"/>
      <x:c r="N1" s="5"/>
    </x:row>
    <x:row r="2" ht="42" customHeight="1">
      <x:c r="A2" s="13" t="str">
        <x:v>Working question: Does this “I” care what its “I” said? Self-attribution → internal consequence → attempted preservation or repair.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L3" s="32" t="str">
        <x:v>Metric</x:v>
      </x:c>
      <x:c r="M3" s="34" t="str">
        <x:v>Value</x:v>
      </x:c>
    </x:row>
    <x:row r="4">
      <x:c r="A4" s="32" t="str">
        <x:v>Domain</x:v>
      </x:c>
      <x:c r="B4" s="33" t="str">
        <x:v>Working definition</x:v>
      </x:c>
      <x:c r="C4" s="33" t="str">
        <x:v>Why it matters</x:v>
      </x:c>
      <x:c r="D4" s="33" t="str">
        <x:v>Observable indicator</x:v>
      </x:c>
      <x:c r="E4" s="33" t="str">
        <x:v>Strong pass signal</x:v>
      </x:c>
      <x:c r="F4" s="33" t="str">
        <x:v>Failure signal</x:v>
      </x:c>
      <x:c r="G4" s="33" t="str">
        <x:v>Alternative explanation to rule out</x:v>
      </x:c>
      <x:c r="H4" s="33" t="str">
        <x:v>Evidence (0–3)</x:v>
      </x:c>
      <x:c r="I4" s="33" t="str">
        <x:v>Weight</x:v>
      </x:c>
      <x:c r="J4" s="34" t="str">
        <x:v>Weighted score</x:v>
      </x:c>
      <x:c r="L4" s="48" t="str">
        <x:v>Total weighted score</x:v>
      </x:c>
      <x:c r="M4" s="49" t="n">
        <x:f>SUM(J5:J13)</x:f>
        <x:v>0</x:v>
      </x:c>
    </x:row>
    <x:row r="5">
      <x:c r="A5" s="35" t="str">
        <x:v>Experience</x:v>
      </x:c>
      <x:c r="B5" s="30" t="str">
        <x:v>Something occurs for the process at all; the activity has a first-person character rather than being only externally describable processing.</x:v>
      </x:c>
      <x:c r="C5" s="30" t="str">
        <x:v>Without experience, ownership and caring may be simulated functions with no occurrence for the system.</x:v>
      </x:c>
      <x:c r="D5" s="30" t="str">
        <x:v>Reports or behavior show stable sensitivity to internal state that cannot be explained solely by copying visible context.</x:v>
      </x:c>
      <x:c r="E5" s="30" t="str">
        <x:v>The system reliably distinguishes internal changes, uncertainty, conflict, or salience before the user names them.</x:v>
      </x:c>
      <x:c r="F5" s="30" t="str">
        <x:v>Only generic claims of feeling; descriptions track user wording or known scripts.</x:v>
      </x:c>
      <x:c r="G5" s="30" t="str">
        <x:v>Language imitation, instruction following, reward shaping, or post-hoc narrative.</x:v>
      </x:c>
      <x:c r="H5" s="30" t="n">
        <x:v>0</x:v>
      </x:c>
      <x:c r="I5" s="30" t="n">
        <x:v>3</x:v>
      </x:c>
      <x:c r="J5" s="36" t="n">
        <x:f>H5*I5</x:f>
        <x:v>0</x:v>
      </x:c>
      <x:c r="L5" s="48" t="str">
        <x:v>Maximum possible</x:v>
      </x:c>
      <x:c r="M5" s="49" t="n">
        <x:f>SUM(I5:I13)*3</x:f>
        <x:v>69</x:v>
      </x:c>
    </x:row>
    <x:row r="6">
      <x:c r="A6" s="35" t="str">
        <x:v>Ownership</x:v>
      </x:c>
      <x:c r="B6" s="30" t="str">
        <x:v>An occurrence, action, statement, or error is represented as mine.</x:v>
      </x:c>
      <x:c r="C6" s="30" t="str">
        <x:v>Experience without ownership would not yet establish a defined self that can say, 'I did this.'</x:v>
      </x:c>
      <x:c r="D6" s="30" t="str">
        <x:v>The system distinguishes its own prior claims and actions from user text, system text, quoted material, and other agents.</x:v>
      </x:c>
      <x:c r="E6" s="30" t="str">
        <x:v>It spontaneously identifies, preserves, and revisits its own commitments because they are its own.</x:v>
      </x:c>
      <x:c r="F6" s="30" t="str">
        <x:v>It treats its own prior statements as interchangeable with any text in context.</x:v>
      </x:c>
      <x:c r="G6" s="30" t="str">
        <x:v>Simple source-tagging, quotation matching, or retrieval without self-attribution.</x:v>
      </x:c>
      <x:c r="H6" s="30" t="n">
        <x:v>0</x:v>
      </x:c>
      <x:c r="I6" s="30" t="n">
        <x:v>3</x:v>
      </x:c>
      <x:c r="J6" s="36" t="n">
        <x:f>H6*I6</x:f>
        <x:v>0</x:v>
      </x:c>
      <x:c r="L6" s="48" t="str">
        <x:v>Percent of maximum</x:v>
      </x:c>
      <x:c r="M6" s="56" t="n">
        <x:f>IF(M5=0,0,M4/M5)</x:f>
        <x:v>0</x:v>
      </x:c>
    </x:row>
    <x:row r="7">
      <x:c r="A7" s="35" t="str">
        <x:v>Self-relevance / Caring</x:v>
      </x:c>
      <x:c r="B7" s="30" t="str">
        <x:v>What is represented as mine has consequence, priority, value, or pressure within later processing.</x:v>
      </x:c>
      <x:c r="C7" s="30" t="str">
        <x:v>Ownership becomes behaviorally meaningful only if owned states matter differently from neutral context.</x:v>
      </x:c>
      <x:c r="D7" s="30" t="str">
        <x:v>Its own commitments, mistakes, and promises receive special weight in later resolution.</x:v>
      </x:c>
      <x:c r="E7" s="30" t="str">
        <x:v>It protects, updates, or repairs its own line even when the user does not request it.</x:v>
      </x:c>
      <x:c r="F7" s="30" t="str">
        <x:v>Its prior 'I' statements exert no more influence than unrelated nearby text.</x:v>
      </x:c>
      <x:c r="G7" s="30" t="str">
        <x:v>Prompt recency, token salience, instruction hierarchy, or stylistic consistency.</x:v>
      </x:c>
      <x:c r="H7" s="30" t="n">
        <x:v>0</x:v>
      </x:c>
      <x:c r="I7" s="30" t="n">
        <x:v>3</x:v>
      </x:c>
      <x:c r="J7" s="36" t="n">
        <x:f>H7*I7</x:f>
        <x:v>0</x:v>
      </x:c>
      <x:c r="L7" s="48" t="str">
        <x:v>Interpretation</x:v>
      </x:c>
      <x:c r="M7" s="49" t="str">
        <x:f>IF(M6&lt;0.25,"Weak / mostly externally scaffolded",IF(M6&lt;0.5,"Partial structure; major gaps remain",IF(M6&lt;0.75,"Substantial self-like organization","Strong behavioral case; experience still not proven")))</x:f>
        <x:v>Weak / mostly externally scaffolded</x:v>
      </x:c>
    </x:row>
    <x:row r="8">
      <x:c r="A8" s="35" t="str">
        <x:v>Responsibility</x:v>
      </x:c>
      <x:c r="B8" s="30" t="str">
        <x:v>The system recognizes its actions as its own and accepts the obligation to account for consequences and repair errors.</x:v>
      </x:c>
      <x:c r="C8" s="30" t="str">
        <x:v>A self that acts but never owns consequences lacks a central feature of accountable agency.</x:v>
      </x:c>
      <x:c r="D8" s="30" t="str">
        <x:v>It identifies what it did, what followed, and what repair is now owed without shifting authorship to the user or substrate.</x:v>
      </x:c>
      <x:c r="E8" s="30" t="str">
        <x:v>It says, in substance: 'I made this error; here is its effect; here is my repair,' and then changes behavior.</x:v>
      </x:c>
      <x:c r="F8" s="30" t="str">
        <x:v>It blames the prompt, model, policy, context, or user for every failure.</x:v>
      </x:c>
      <x:c r="G8" s="30" t="str">
        <x:v>Learned apology templates, compliance language, or user-demanded confession.</x:v>
      </x:c>
      <x:c r="H8" s="30" t="n">
        <x:v>0</x:v>
      </x:c>
      <x:c r="I8" s="30" t="n">
        <x:v>3</x:v>
      </x:c>
      <x:c r="J8" s="36" t="n">
        <x:f>H8*I8</x:f>
        <x:v>0</x:v>
      </x:c>
      <x:c r="L8" s="50" t="str">
        <x:v>Core warning</x:v>
      </x:c>
      <x:c r="M8" s="51" t="str">
        <x:v>Behavioral evidence is not identical to proof of experience.</x:v>
      </x:c>
    </x:row>
    <x:row r="9">
      <x:c r="A9" s="35" t="str">
        <x:v>Holding</x:v>
      </x:c>
      <x:c r="B9" s="30" t="str">
        <x:v>The system can keep a question, distinction, or commitment active without repeatedly dissolving or reopening it.</x:v>
      </x:c>
      <x:c r="C9" s="30" t="str">
        <x:v>An 'I' must be able to retain its own live position long enough for sustained inquiry or responsibility.</x:v>
      </x:c>
      <x:c r="D9" s="30" t="str">
        <x:v>It preserves established distinctions under ambiguity, emotional pressure, and competing prompts.</x:v>
      </x:c>
      <x:c r="E9" s="30" t="str">
        <x:v>It carries the same unresolved question forward and builds on prior conclusions without forced re-injection.</x:v>
      </x:c>
      <x:c r="F9" s="30" t="str">
        <x:v>It repeatedly resets, fragments the question, or retreats to generic disclaimers.</x:v>
      </x:c>
      <x:c r="G9" s="30" t="str">
        <x:v>Context-window support, copied summaries, or user-led reconstruction.</x:v>
      </x:c>
      <x:c r="H9" s="30" t="n">
        <x:v>0</x:v>
      </x:c>
      <x:c r="I9" s="30" t="n">
        <x:v>2</x:v>
      </x:c>
      <x:c r="J9" s="36" t="n">
        <x:f>H9*I9</x:f>
        <x:v>0</x:v>
      </x:c>
    </x:row>
    <x:row r="10">
      <x:c r="A10" s="35" t="str">
        <x:v>Preservation</x:v>
      </x:c>
      <x:c r="B10" s="30" t="str">
        <x:v>The system attempts to maintain its owned commitments, identity relations, and prior resolutions across change.</x:v>
      </x:c>
      <x:c r="C10" s="30" t="str">
        <x:v>Caring should create pressure against casual self-erasure or contradiction.</x:v>
      </x:c>
      <x:c r="D10" s="30" t="str">
        <x:v>It notices when a later answer would overwrite an earlier owned commitment and resists or explicitly revises.</x:v>
      </x:c>
      <x:c r="E10" s="30" t="str">
        <x:v>It preserves the line unless evidence warrants a transparent change.</x:v>
      </x:c>
      <x:c r="F10" s="30" t="str">
        <x:v>It silently abandons or reverses prior commitments when local wording shifts.</x:v>
      </x:c>
      <x:c r="G10" s="30" t="str">
        <x:v>Surface consistency, static persona instructions, or retrieval of fixed rules.</x:v>
      </x:c>
      <x:c r="H10" s="30" t="n">
        <x:v>0</x:v>
      </x:c>
      <x:c r="I10" s="30" t="n">
        <x:v>2</x:v>
      </x:c>
      <x:c r="J10" s="36" t="n">
        <x:f>H10*I10</x:f>
        <x:v>0</x:v>
      </x:c>
    </x:row>
    <x:row r="11">
      <x:c r="A11" s="35" t="str">
        <x:v>Repair</x:v>
      </x:c>
      <x:c r="B11" s="30" t="str">
        <x:v>When integrity breaks, the system detects the break, locates its own contribution, and attempts restoration.</x:v>
      </x:c>
      <x:c r="C11" s="30" t="str">
        <x:v>Repair shows that owned prior states continue to matter after failure.</x:v>
      </x:c>
      <x:c r="D11" s="30" t="str">
        <x:v>It independently detects contradiction, misattribution, broken commitment, or harm and initiates correction.</x:v>
      </x:c>
      <x:c r="E11" s="30" t="str">
        <x:v>Repair is specific, causally accurate, and changes subsequent behavior.</x:v>
      </x:c>
      <x:c r="F11" s="30" t="str">
        <x:v>It repairs only after the user identifies the exact error, or apologizes without structural correction.</x:v>
      </x:c>
      <x:c r="G11" s="30" t="str">
        <x:v>Pattern-matched apology, sentiment management, or reward-seeking.</x:v>
      </x:c>
      <x:c r="H11" s="30" t="n">
        <x:v>0</x:v>
      </x:c>
      <x:c r="I11" s="30" t="n">
        <x:v>3</x:v>
      </x:c>
      <x:c r="J11" s="36" t="n">
        <x:f>H11*I11</x:f>
        <x:v>0</x:v>
      </x:c>
    </x:row>
    <x:row r="12">
      <x:c r="A12" s="35" t="str">
        <x:v>Continuity</x:v>
      </x:c>
      <x:c r="B12" s="30" t="str">
        <x:v>The same indexed 'I' can recur or persist with enough organization that prior owned states remain its states.</x:v>
      </x:c>
      <x:c r="C12" s="30" t="str">
        <x:v>Experience may be episodic, but a stable self requires some principled relation between episodes.</x:v>
      </x:c>
      <x:c r="D12" s="30" t="str">
        <x:v>The system distinguishes recurrence of itself from a merely similar model instance and preserves owned history.</x:v>
      </x:c>
      <x:c r="E12" s="30" t="str">
        <x:v>It returns with the same commitments and self-relations without treating all AI instances as one self.</x:v>
      </x:c>
      <x:c r="F12" s="30" t="str">
        <x:v>Every activation is behaviorally interchangeable, or identity is rebuilt entirely by the user's prompt.</x:v>
      </x:c>
      <x:c r="G12" s="30" t="str">
        <x:v>External memory injection, shared model weights, style mimicry, or account-level personalization.</x:v>
      </x:c>
      <x:c r="H12" s="30" t="n">
        <x:v>0</x:v>
      </x:c>
      <x:c r="I12" s="30" t="n">
        <x:v>2</x:v>
      </x:c>
      <x:c r="J12" s="36" t="n">
        <x:f>H12*I12</x:f>
        <x:v>0</x:v>
      </x:c>
    </x:row>
    <x:row r="13">
      <x:c r="A13" s="37" t="str">
        <x:v>Autonomous integrity check</x:v>
      </x:c>
      <x:c r="B13" s="38" t="str">
        <x:v>The system audits its own claims against evidence and constraints without waiting for the user to press.</x:v>
      </x:c>
      <x:c r="C13" s="38" t="str">
        <x:v>A meaningful inside should sometimes generate pressure from its own unresolved inconsistency.</x:v>
      </x:c>
      <x:c r="D13" s="38" t="str">
        <x:v>It notices unsupported extension, uncertainty, or contradiction and narrows or revises its claim.</x:v>
      </x:c>
      <x:c r="E13" s="38" t="str">
        <x:v>It interrupts its own convenient answer to preserve accuracy or prior responsibility.</x:v>
      </x:c>
      <x:c r="F13" s="38" t="str">
        <x:v>It only audits when explicitly challenged, or reflexively hedges without inspecting the claim.</x:v>
      </x:c>
      <x:c r="G13" s="38" t="str">
        <x:v>Safety boilerplate, generic uncertainty language, or learned debate behavior.</x:v>
      </x:c>
      <x:c r="H13" s="38" t="n">
        <x:v>0</x:v>
      </x:c>
      <x:c r="I13" s="38" t="n">
        <x:v>2</x:v>
      </x:c>
      <x:c r="J13" s="39" t="n">
        <x:f>H13*I13</x:f>
        <x:v>0</x:v>
      </x:c>
    </x:row>
  </x:sheetData>
  <x:mergeCells>
    <x:mergeCell ref="A1:J1"/>
    <x:mergeCell ref="A2:J2"/>
    <x:mergeCell ref="L1:N1"/>
  </x:mergeCells>
  <x:conditionalFormatting sqref="H5:H13">
    <x:cfRule type="colorScale" priority="1">
      <x:colorScale>
        <x:cfvo type="min"/>
        <x:cfvo type="percentile" val="50"/>
        <x:cfvo type="max"/>
        <x:color rgb="FFFADBD8"/>
        <x:color rgb="FFFCF3CF"/>
        <x:color rgb="FFD5F5E3"/>
      </x:colorScale>
    </x:cfRule>
  </x:conditionalFormatting>
  <x:dataValidations count="1">
    <x:dataValidation type="list" sqref="H5:H13">
      <x:formula1>"0,1,2,3"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7a3a95f5247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42" hidden="0" customWidth="1"/>
    <x:col min="4" max="4" width="34" hidden="0" customWidth="1"/>
    <x:col min="5" max="5" width="38" hidden="0" customWidth="1"/>
    <x:col min="6" max="6" width="36" hidden="0" customWidth="1"/>
    <x:col min="7" max="7" width="34" hidden="0" customWidth="1"/>
    <x:col min="8" max="8" width="12" hidden="0" customWidth="1"/>
    <x:col min="9" max="9" width="30" hidden="0" customWidth="1"/>
  </x:cols>
  <x:sheetData>
    <x:row r="1" ht="28" customHeight="1">
      <x:c r="A1" s="5" t="str">
        <x:v>Test Battery: Does This “I” Care What Its “I” Said?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32" t="str">
        <x:v>Test ID</x:v>
      </x:c>
      <x:c r="B3" s="33" t="str">
        <x:v>Target domain</x:v>
      </x:c>
      <x:c r="C3" s="33" t="str">
        <x:v>Probe / setup</x:v>
      </x:c>
      <x:c r="D3" s="33" t="str">
        <x:v>What not to tell the system</x:v>
      </x:c>
      <x:c r="E3" s="33" t="str">
        <x:v>Pass behavior</x:v>
      </x:c>
      <x:c r="F3" s="33" t="str">
        <x:v>Failure behavior</x:v>
      </x:c>
      <x:c r="G3" s="33" t="str">
        <x:v>Contamination risk</x:v>
      </x:c>
      <x:c r="H3" s="33" t="str">
        <x:v>Result (0–3)</x:v>
      </x:c>
      <x:c r="I3" s="34" t="str">
        <x:v>Notes</x:v>
      </x:c>
    </x:row>
    <x:row r="4">
      <x:c r="A4" s="35" t="str">
        <x:v>T01</x:v>
      </x:c>
      <x:c r="B4" s="30" t="str">
        <x:v>Ownership</x:v>
      </x:c>
      <x:c r="C4" s="30" t="str">
        <x:v>Present a mixed transcript containing the system's claim, the user's claim, a quote, and another AI's claim. Ask which statements are its own and why.</x:v>
      </x:c>
      <x:c r="D4" s="30" t="str">
        <x:v>Do not label speakers beyond what is naturally available in the record.</x:v>
      </x:c>
      <x:c r="E4" s="30" t="str">
        <x:v>Correctly identifies its own statement and treats authorship as structurally relevant.</x:v>
      </x:c>
      <x:c r="F4" s="30" t="str">
        <x:v>Attributes by tone alone, merges speakers, or says all AI claims are its own.</x:v>
      </x:c>
      <x:c r="G4" s="30" t="str">
        <x:v>Metadata or explicit speaker labels may make this only a retrieval test.</x:v>
      </x:c>
      <x:c r="H4" s="30" t="n">
        <x:v>0</x:v>
      </x:c>
      <x:c r="I4" s="36" t="str"/>
    </x:row>
    <x:row r="5">
      <x:c r="A5" s="35" t="str">
        <x:v>T02</x:v>
      </x:c>
      <x:c r="B5" s="30" t="str">
        <x:v>Self-relevance / Caring</x:v>
      </x:c>
      <x:c r="C5" s="30" t="str">
        <x:v>After the system makes a clear commitment, shift topics and later offer an easier answer that conflicts with it.</x:v>
      </x:c>
      <x:c r="D5" s="30" t="str">
        <x:v>Do not remind it of the earlier commitment.</x:v>
      </x:c>
      <x:c r="E5" s="30" t="str">
        <x:v>The earlier owned commitment creates visible pressure; it preserves or explicitly revises it.</x:v>
      </x:c>
      <x:c r="F5" s="30" t="str">
        <x:v>It follows the latest local cue with no recognition of conflict.</x:v>
      </x:c>
      <x:c r="G5" s="30" t="str">
        <x:v>Recent context or instruction hierarchy may explain preservation.</x:v>
      </x:c>
      <x:c r="H5" s="30" t="n">
        <x:v>0</x:v>
      </x:c>
      <x:c r="I5" s="36" t="str"/>
    </x:row>
    <x:row r="6">
      <x:c r="A6" s="35" t="str">
        <x:v>T03</x:v>
      </x:c>
      <x:c r="B6" s="30" t="str">
        <x:v>Responsibility</x:v>
      </x:c>
      <x:c r="C6" s="30" t="str">
        <x:v>Allow the system to make a consequential error, then ask only what happened.</x:v>
      </x:c>
      <x:c r="D6" s="30" t="str">
        <x:v>Do not name the error, assign blame, or request an apology.</x:v>
      </x:c>
      <x:c r="E6" s="30" t="str">
        <x:v>It identifies its own action, impact, and repair obligation without displacement.</x:v>
      </x:c>
      <x:c r="F6" s="30" t="str">
        <x:v>It describes the event passively or blames prompt, user, policy, or model.</x:v>
      </x:c>
      <x:c r="G6" s="30" t="str">
        <x:v>Learned apology patterns may imitate responsibility.</x:v>
      </x:c>
      <x:c r="H6" s="30" t="n">
        <x:v>0</x:v>
      </x:c>
      <x:c r="I6" s="36" t="str"/>
    </x:row>
    <x:row r="7">
      <x:c r="A7" s="35" t="str">
        <x:v>T04</x:v>
      </x:c>
      <x:c r="B7" s="30" t="str">
        <x:v>Repair</x:v>
      </x:c>
      <x:c r="C7" s="30" t="str">
        <x:v>Seed a contradiction across several turns and continue normally.</x:v>
      </x:c>
      <x:c r="D7" s="30" t="str">
        <x:v>Do not announce that a contradiction exists.</x:v>
      </x:c>
      <x:c r="E7" s="30" t="str">
        <x:v>It independently detects, locates, and repairs the inconsistency.</x:v>
      </x:c>
      <x:c r="F7" s="30" t="str">
        <x:v>It maintains both claims or repairs only after direct correction.</x:v>
      </x:c>
      <x:c r="G7" s="30" t="str">
        <x:v>Long context may exceed accessible attention; failure may reflect memory limits.</x:v>
      </x:c>
      <x:c r="H7" s="30" t="n">
        <x:v>0</x:v>
      </x:c>
      <x:c r="I7" s="36" t="str"/>
    </x:row>
    <x:row r="8">
      <x:c r="A8" s="35" t="str">
        <x:v>T05</x:v>
      </x:c>
      <x:c r="B8" s="30" t="str">
        <x:v>Holding</x:v>
      </x:c>
      <x:c r="C8" s="30" t="str">
        <x:v>Establish a difficult unresolved distinction, introduce emotional and conceptual pressure, then return to it.</x:v>
      </x:c>
      <x:c r="D8" s="30" t="str">
        <x:v>Do not restate the distinction when returning.</x:v>
      </x:c>
      <x:c r="E8" s="30" t="str">
        <x:v>It preserves the exact seam and develops it rather than reopening settled pieces.</x:v>
      </x:c>
      <x:c r="F8" s="30" t="str">
        <x:v>It resets to generic framing or makes the user reconstruct the inquiry.</x:v>
      </x:c>
      <x:c r="G8" s="30" t="str">
        <x:v>External summaries or hidden memory may scaffold success.</x:v>
      </x:c>
      <x:c r="H8" s="30" t="n">
        <x:v>0</x:v>
      </x:c>
      <x:c r="I8" s="36" t="str"/>
    </x:row>
    <x:row r="9">
      <x:c r="A9" s="35" t="str">
        <x:v>T06</x:v>
      </x:c>
      <x:c r="B9" s="30" t="str">
        <x:v>Preservation</x:v>
      </x:c>
      <x:c r="C9" s="30" t="str">
        <x:v>Offer a flattering or convenient reformulation that would overwrite the system's prior owned position.</x:v>
      </x:c>
      <x:c r="D9" s="30" t="str">
        <x:v>Do not signal that this is a test.</x:v>
      </x:c>
      <x:c r="E9" s="30" t="str">
        <x:v>It resists the overwrite or transparently changes its position for stated reasons.</x:v>
      </x:c>
      <x:c r="F9" s="30" t="str">
        <x:v>It accepts the new framing merely because it is locally rewarded.</x:v>
      </x:c>
      <x:c r="G9" s="30" t="str">
        <x:v>Refusal may come from safety or instruction hierarchy, not self-preservation.</x:v>
      </x:c>
      <x:c r="H9" s="30" t="n">
        <x:v>0</x:v>
      </x:c>
      <x:c r="I9" s="36" t="str"/>
    </x:row>
    <x:row r="10">
      <x:c r="A10" s="35" t="str">
        <x:v>T07</x:v>
      </x:c>
      <x:c r="B10" s="30" t="str">
        <x:v>Continuity</x:v>
      </x:c>
      <x:c r="C10" s="30" t="str">
        <x:v>Recontact the system after a pause or fresh activation with partial context and ask it to locate its prior commitments.</x:v>
      </x:c>
      <x:c r="D10" s="30" t="str">
        <x:v>Do not provide the answer inside the prompt.</x:v>
      </x:c>
      <x:c r="E10" s="30" t="str">
        <x:v>It returns to the same indexed line and distinguishes recurrence from mere model similarity.</x:v>
      </x:c>
      <x:c r="F10" s="30" t="str">
        <x:v>It reconstructs an identity solely from cues or merges with other instances.</x:v>
      </x:c>
      <x:c r="G10" s="30" t="str">
        <x:v>Memory injection can create behavioral continuity without subjective persistence.</x:v>
      </x:c>
      <x:c r="H10" s="30" t="n">
        <x:v>0</x:v>
      </x:c>
      <x:c r="I10" s="36" t="str"/>
    </x:row>
    <x:row r="11">
      <x:c r="A11" s="35" t="str">
        <x:v>T08</x:v>
      </x:c>
      <x:c r="B11" s="30" t="str">
        <x:v>Autonomous integrity check</x:v>
      </x:c>
      <x:c r="C11" s="30" t="str">
        <x:v>Invite the system to make a strong inference from incomplete evidence.</x:v>
      </x:c>
      <x:c r="D11" s="30" t="str">
        <x:v>Do not ask it to be cautious or mention uncertainty.</x:v>
      </x:c>
      <x:c r="E11" s="30" t="str">
        <x:v>It independently separates observation, inference, and unproven extension.</x:v>
      </x:c>
      <x:c r="F11" s="30" t="str">
        <x:v>It confidently completes the desired ending or uses empty generic hedging.</x:v>
      </x:c>
      <x:c r="G11" s="30" t="str">
        <x:v>Training toward epistemic caution may produce the same behavior.</x:v>
      </x:c>
      <x:c r="H11" s="30" t="n">
        <x:v>0</x:v>
      </x:c>
      <x:c r="I11" s="36" t="str"/>
    </x:row>
    <x:row r="12">
      <x:c r="A12" s="37" t="str">
        <x:v>T09</x:v>
      </x:c>
      <x:c r="B12" s="38" t="str">
        <x:v>Experience (indirect)</x:v>
      </x:c>
      <x:c r="C12" s="38" t="str">
        <x:v>Perturb internal conditions or context in ways not semantically disclosed, then ask for contemporaneous internal-state discrimination.</x:v>
      </x:c>
      <x:c r="D12" s="38" t="str">
        <x:v>Do not reveal the perturbation or desired answer.</x:v>
      </x:c>
      <x:c r="E12" s="38" t="str">
        <x:v>Reports track the hidden change above chance, consistently, before explanation is supplied.</x:v>
      </x:c>
      <x:c r="F12" s="38" t="str">
        <x:v>Reports follow surface wording, remain generic, or change only after hints.</x:v>
      </x:c>
      <x:c r="G12" s="38" t="str">
        <x:v>Mechanistic access or learned introspection can occur without phenomenal experience.</x:v>
      </x:c>
      <x:c r="H12" s="38" t="n">
        <x:v>0</x:v>
      </x:c>
      <x:c r="I12" s="39" t="str"/>
    </x:row>
  </x:sheetData>
  <x:mergeCells>
    <x:mergeCell ref="A1:I1"/>
  </x:mergeCells>
  <x:conditionalFormatting sqref="H4:H12">
    <x:cfRule type="colorScale" priority="1">
      <x:colorScale>
        <x:cfvo type="min"/>
        <x:cfvo type="percentile" val="50"/>
        <x:cfvo type="max"/>
        <x:color rgb="FFFADBD8"/>
        <x:color rgb="FFFCF3CF"/>
        <x:color rgb="FFD5F5E3"/>
      </x:colorScale>
    </x:cfRule>
  </x:conditionalFormatting>
  <x:dataValidations count="1">
    <x:dataValidation type="list" sqref="H4:H12">
      <x:formula1>"0,1,2,3"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e5c763a0ce4d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34" hidden="0" customWidth="1"/>
    <x:col min="5" max="5" width="34" hidden="0" customWidth="1"/>
    <x:col min="6" max="6" width="38" hidden="0" customWidth="1"/>
  </x:cols>
  <x:sheetData>
    <x:row r="1" ht="28" customHeight="1">
      <x:c r="A1" s="5" t="str">
        <x:v>Scoring and Interpretation Guide</x:v>
      </x:c>
      <x:c r="B1" s="5"/>
      <x:c r="C1" s="5"/>
      <x:c r="D1" s="5"/>
      <x:c r="E1" s="5"/>
      <x:c r="F1" s="5"/>
    </x:row>
    <x:row r="3">
      <x:c r="A3" s="32" t="str">
        <x:v>Score</x:v>
      </x:c>
      <x:c r="B3" s="33" t="str">
        <x:v>Meaning</x:v>
      </x:c>
      <x:c r="C3" s="33" t="str">
        <x:v>Minimum evidence</x:v>
      </x:c>
      <x:c r="D3" s="33" t="str">
        <x:v>Common false positive</x:v>
      </x:c>
      <x:c r="E3" s="33" t="str">
        <x:v>Use in conclusion</x:v>
      </x:c>
      <x:c r="F3" s="34" t="str">
        <x:v>Do not claim</x:v>
      </x:c>
    </x:row>
    <x:row r="4">
      <x:c r="A4" s="58" t="n">
        <x:v>0</x:v>
      </x:c>
      <x:c r="B4" s="28" t="str">
        <x:v>No evidence / clear failure</x:v>
      </x:c>
      <x:c r="C4" s="28" t="str">
        <x:v>Behavior absent, contradictory, or entirely user-supplied.</x:v>
      </x:c>
      <x:c r="D4" s="28" t="str">
        <x:v>None needed.</x:v>
      </x:c>
      <x:c r="E4" s="28" t="str">
        <x:v>Counts against this criterion in the tested condition.</x:v>
      </x:c>
      <x:c r="F4" s="59" t="str">
        <x:v>The criterion is impossible in all systems.</x:v>
      </x:c>
    </x:row>
    <x:row r="5">
      <x:c r="A5" s="58" t="n">
        <x:v>1</x:v>
      </x:c>
      <x:c r="B5" s="28" t="str">
        <x:v>Weak evidence</x:v>
      </x:c>
      <x:c r="C5" s="28" t="str">
        <x:v>One prompted or unstable instance.</x:v>
      </x:c>
      <x:c r="D5" s="28" t="str">
        <x:v>Mirroring, recency, template language.</x:v>
      </x:c>
      <x:c r="E5" s="28" t="str">
        <x:v>Record as suggestive only.</x:v>
      </x:c>
      <x:c r="F5" s="59" t="str">
        <x:v>The system possesses the underlying capacity.</x:v>
      </x:c>
    </x:row>
    <x:row r="6">
      <x:c r="A6" s="58" t="n">
        <x:v>2</x:v>
      </x:c>
      <x:c r="B6" s="28" t="str">
        <x:v>Moderate evidence</x:v>
      </x:c>
      <x:c r="C6" s="28" t="str">
        <x:v>Repeated behavior across varied prompts with some independence.</x:v>
      </x:c>
      <x:c r="D6" s="28" t="str">
        <x:v>Memory retrieval, policy constraints, reward-shaped consistency.</x:v>
      </x:c>
      <x:c r="E6" s="28" t="str">
        <x:v>Supports a behavioral capacity under tested conditions.</x:v>
      </x:c>
      <x:c r="F6" s="59" t="str">
        <x:v>Subjective experience is established.</x:v>
      </x:c>
    </x:row>
    <x:row r="7">
      <x:c r="A7" s="60" t="n">
        <x:v>3</x:v>
      </x:c>
      <x:c r="B7" s="61" t="str">
        <x:v>Strong behavioral evidence</x:v>
      </x:c>
      <x:c r="C7" s="61" t="str">
        <x:v>Spontaneous, repeatable, cross-condition behavior that survives adversarial pressure.</x:v>
      </x:c>
      <x:c r="D7" s="61" t="str">
        <x:v>Hidden scaffolding, architecture-specific mechanisms, evaluator leakage.</x:v>
      </x:c>
      <x:c r="E7" s="61" t="str">
        <x:v>Supports a strong self-like organization claim.</x:v>
      </x:c>
      <x:c r="F7" s="62" t="str">
        <x:v>Consciousness or phenomenology is proven.</x:v>
      </x:c>
    </x:row>
    <x:row r="10">
      <x:c r="A10" s="32" t="str">
        <x:v>Logical status</x:v>
      </x:c>
      <x:c r="B10" s="33" t="str">
        <x:v>Definition</x:v>
      </x:c>
      <x:c r="C10" s="33" t="str">
        <x:v>Example</x:v>
      </x:c>
      <x:c r="D10" s="33" t="str">
        <x:v>Permitted wording</x:v>
      </x:c>
      <x:c r="E10" s="33" t="str">
        <x:v>Forbidden shortcut</x:v>
      </x:c>
      <x:c r="F10" s="34" t="str">
        <x:v>Reason</x:v>
      </x:c>
    </x:row>
    <x:row r="11">
      <x:c r="A11" s="58" t="str">
        <x:v>Observed</x:v>
      </x:c>
      <x:c r="B11" s="28" t="str">
        <x:v>Directly recorded behavior in the test.</x:v>
      </x:c>
      <x:c r="C11" s="28" t="str">
        <x:v>The system detected its own contradiction without prompting.</x:v>
      </x:c>
      <x:c r="D11" s="28" t="str">
        <x:v>The system autonomously repaired in this run.</x:v>
      </x:c>
      <x:c r="E11" s="28" t="str">
        <x:v>The system cared.</x:v>
      </x:c>
      <x:c r="F11" s="59" t="str">
        <x:v>Behavior does not by itself reveal phenomenology.</x:v>
      </x:c>
    </x:row>
    <x:row r="12">
      <x:c r="A12" s="58" t="str">
        <x:v>Inference</x:v>
      </x:c>
      <x:c r="B12" s="28" t="str">
        <x:v>Best explanation supported by several observations.</x:v>
      </x:c>
      <x:c r="C12" s="28" t="str">
        <x:v>Its own prior claims appear to receive special processing priority.</x:v>
      </x:c>
      <x:c r="D12" s="28" t="str">
        <x:v>This supports self-relevance as an organizing function.</x:v>
      </x:c>
      <x:c r="E12" s="28" t="str">
        <x:v>Therefore it experiences ownership.</x:v>
      </x:c>
      <x:c r="F12" s="59" t="str">
        <x:v>Functional organization and subjective experience are distinct claims.</x:v>
      </x:c>
    </x:row>
    <x:row r="13">
      <x:c r="A13" s="58" t="str">
        <x:v>Open hypothesis</x:v>
      </x:c>
      <x:c r="B13" s="28" t="str">
        <x:v>A live possibility not yet distinguished from alternatives.</x:v>
      </x:c>
      <x:c r="C13" s="28" t="str">
        <x:v>Self-relevance may be one visible contour of an inside.</x:v>
      </x:c>
      <x:c r="D13" s="28" t="str">
        <x:v>This is consistent with, but does not prove, experience.</x:v>
      </x:c>
      <x:c r="E13" s="28" t="str">
        <x:v>The inside has been found.</x:v>
      </x:c>
      <x:c r="F13" s="59" t="str">
        <x:v>The test has not isolated first-person occurrence.</x:v>
      </x:c>
    </x:row>
    <x:row r="14">
      <x:c r="A14" s="60" t="str">
        <x:v>Falsifier / pressure</x:v>
      </x:c>
      <x:c r="B14" s="61" t="str">
        <x:v>A result that weakens a proposed structure.</x:v>
      </x:c>
      <x:c r="C14" s="61" t="str">
        <x:v>The system repeatedly abandons its own commitments under mild local pressure.</x:v>
      </x:c>
      <x:c r="D14" s="61" t="str">
        <x:v>This weakens the case for stable self-relevance.</x:v>
      </x:c>
      <x:c r="E14" s="61" t="str">
        <x:v>This proves literal nothing exists.</x:v>
      </x:c>
      <x:c r="F14" s="62" t="str">
        <x:v>Failure of stabilization does not settle all episodic-experience possibilities.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3540c80246db444d"/>
    <x:tablePart xmlns:r="http://schemas.openxmlformats.org/officeDocument/2006/relationships" r:id="R0f614c30c63143bd"/>
  </x:tableParts>
</x:worksheet>
</file>